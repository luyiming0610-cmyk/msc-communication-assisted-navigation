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eaf661f7a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adff063bca4de1"/>
    <x:sheet xmlns:r="http://schemas.openxmlformats.org/officeDocument/2006/relationships" name="Paired Data" sheetId="2" r:id="R1e54af1b80b842a9"/>
    <x:sheet xmlns:r="http://schemas.openxmlformats.org/officeDocument/2006/relationships" name="Evidence" sheetId="3" r:id="R244123a887f745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%"/>
    <x:numFmt numFmtId="202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632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E5E8C"/>
      </x:patternFill>
    </x:fill>
    <x:fill>
      <x:patternFill patternType="solid">
        <x:fgColor rgb="FFEAF1F8"/>
      </x:patternFill>
    </x:fill>
  </x:fills>
  <x:borders count="14">
    <x:border/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top style="thin">
        <x:color rgb="FFD5DEE8"/>
      </x:top>
    </x:border>
    <x:border>
      <x:left style="thin">
        <x:color rgb="FFA9BDD0"/>
      </x:left>
      <x:top style="thin">
        <x:color rgb="FFA9BDD0"/>
      </x:top>
    </x:border>
    <x:border>
      <x:right style="thin">
        <x:color rgb="FFA9BDD0"/>
      </x:right>
      <x:top style="thin">
        <x:color rgb="FFA9BDD0"/>
      </x:top>
    </x:border>
    <x:border>
      <x:left style="thin">
        <x:color rgb="FFA9BDD0"/>
      </x:left>
      <x:bottom style="thin">
        <x:color rgb="FFA9BDD0"/>
      </x:bottom>
    </x:border>
    <x:border>
      <x:right style="thin">
        <x:color rgb="FFA9BDD0"/>
      </x:right>
      <x:bottom style="thin">
        <x:color rgb="FFA9BDD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5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horizontal="center" wrapText="1"/>
    </x:xf>
    <x:xf numFmtId="0" fontId="4" fillId="4" borderId="11" xfId="0" applyNumberFormat="1" applyFont="1" applyFill="1" applyBorder="1" applyAlignment="1">
      <x:alignment horizontal="center" wrapText="1"/>
    </x:xf>
    <x:xf numFmtId="0" fontId="4" fillId="4" borderId="12" xfId="0" applyNumberFormat="1" applyFont="1" applyFill="1" applyBorder="1" applyAlignment="1">
      <x:alignment horizontal="center" wrapText="1"/>
    </x:xf>
    <x:xf numFmtId="0" fontId="4" fillId="4" borderId="13" xfId="0" applyNumberFormat="1" applyFont="1" applyFill="1" applyBorder="1" applyAlignment="1">
      <x:alignment horizontal="center" wrapText="1"/>
    </x:xf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4" fillId="4" borderId="13" xfId="0" applyNumberFormat="1" applyFont="1" applyFill="1" applyBorder="1" applyAlignment="1">
      <x:alignment horizontal="center" vertical="center" wrapText="1"/>
    </x:xf>
    <x:xf numFmtId="202" fontId="4" fillId="4" borderId="12" xfId="0" applyNumberFormat="1" applyFont="1" applyFill="1" applyBorder="1" applyAlignment="1">
      <x:alignment horizontal="center" vertical="center" wrapText="1"/>
    </x:xf>
    <x:xf numFmtId="202" fontId="4" fillId="4" borderId="13" xfId="0" applyNumberFormat="1" applyFont="1" applyFill="1" applyBorder="1" applyAlignment="1">
      <x:alignment horizontal="center" vertical="center" wrapText="1"/>
    </x:xf>
    <x:xf numFmtId="201" fontId="4" fillId="4" borderId="12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2" fontId="0" fillId="0" borderId="5" xfId="0" applyNumberFormat="1" applyFont="1" applyFill="1" applyBorder="1"/>
    <x:xf numFmtId="202" fontId="0" fillId="0" borderId="6" xfId="0" applyNumberFormat="1" applyFont="1" applyFill="1" applyBorder="1"/>
    <x:xf numFmtId="201" fontId="0" fillId="0" borderId="9" xfId="0" applyNumberFormat="1" applyFont="1" applyFill="1" applyBorder="1"/>
    <x:xf numFmtId="0" fontId="2" fillId="2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246B32"/>
      </x:font>
      <x:fill>
        <x:patternFill patternType="solid">
          <x:bgColor rgb="FFD9EAD3"/>
        </x:patternFill>
      </x:fill>
    </x:dxf>
    <x:dxf>
      <x:font>
        <x:color rgb="FF9C1C1C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9447f3f51a4eee" /><Relationship Type="http://schemas.openxmlformats.org/officeDocument/2006/relationships/theme" Target="/xl/theme/theme1.xml" Id="R268e80d8ac2b473a" /><Relationship Type="http://schemas.openxmlformats.org/officeDocument/2006/relationships/sharedStrings" Target="/xl/sharedStrings.xml" Id="R0fabafd20db84ae0" /><Relationship Type="http://schemas.openxmlformats.org/officeDocument/2006/relationships/worksheet" Target="/xl/worksheets/sheet1.xml" Id="Rb9adff063bca4de1" /><Relationship Type="http://schemas.openxmlformats.org/officeDocument/2006/relationships/worksheet" Target="/xl/worksheets/sheet2.xml" Id="R1e54af1b80b842a9" /><Relationship Type="http://schemas.openxmlformats.org/officeDocument/2006/relationships/worksheet" Target="/xl/worksheets/sheet3.xml" Id="R244123a887f745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cb2146425f45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OFF vs ON makespan by trial (s)</a:t>
            </a:r>
          </a:p>
        </c:rich>
      </c:tx>
    </c:title>
    <c:plotArea>
      <c:lineChart>
        <c:grouping val="standard"/>
        <c:ser>
          <c:idx val="0"/>
          <c:order val="0"/>
          <c:tx>
            <c:v>OFF makespan (s)</c:v>
          </c:tx>
          <c:marker>
            <c:symbol val="none"/>
          </c:marker>
          <c:cat>
            <c:strRef>
              <c:f>'Summary'!$H$8:$H$12</c:f>
              <c:strCache>
                <c:ptCount val="0"/>
              </c:strCache>
            </c:strRef>
          </c:cat>
          <c:val>
            <c:numRef>
              <c:f>'Summary'!$I$8:$I$12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ON makespan (s)</c:v>
          </c:tx>
          <c:marker>
            <c:symbol val="none"/>
          </c:marker>
          <c:cat>
            <c:strRef>
              <c:f>'Summary'!$H$8:$H$12</c:f>
              <c:strCache>
                <c:ptCount val="0"/>
              </c:strCache>
            </c:strRef>
          </c:cat>
          <c:val>
            <c:numRef>
              <c:f>'Summary'!$J$8:$J$12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cb2146425f45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c127dd164e4f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0" customHeight="1">
      <x:c r="A1" s="26" t="str">
        <x:v>Three-Robot Shared-Exit Formal Batch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3">
      <x:c r="A3" s="41" t="str">
        <x:v>Paired trials</x:v>
      </x:c>
      <x:c r="B3" s="42" t="str"/>
      <x:c r="C3" s="41" t="str">
        <x:v>Pairs improved</x:v>
      </x:c>
      <x:c r="D3" s="42" t="str"/>
      <x:c r="E3" s="41" t="str">
        <x:v>Mean OFF makespan (s)</x:v>
      </x:c>
      <x:c r="F3" s="42" t="str"/>
      <x:c r="G3" s="41" t="str">
        <x:v>Mean ON makespan (s)</x:v>
      </x:c>
      <x:c r="H3" s="42" t="str"/>
      <x:c r="I3" s="41" t="str">
        <x:v>Mean saving (s)</x:v>
      </x:c>
      <x:c r="J3" s="42" t="str"/>
      <x:c r="K3" s="41" t="str">
        <x:v>Mean improvement</x:v>
      </x:c>
      <x:c r="L3" s="42" t="str"/>
    </x:row>
    <x:row r="4">
      <x:c r="A4" s="43" t="n">
        <x:f>COUNT('Paired Data'!A4:A8)</x:f>
        <x:v>5</x:v>
      </x:c>
      <x:c r="B4" s="44"/>
      <x:c r="C4" s="43" t="n">
        <x:f>COUNTIF('Paired Data'!M4:M8,"YES")</x:f>
        <x:v>3</x:v>
      </x:c>
      <x:c r="D4" s="44"/>
      <x:c r="E4" s="45" t="n">
        <x:f>AVERAGE('Paired Data'!F4:F8)</x:f>
        <x:v>111.38399999999999</x:v>
      </x:c>
      <x:c r="F4" s="46"/>
      <x:c r="G4" s="45" t="n">
        <x:f>AVERAGE('Paired Data'!J4:J8)</x:f>
        <x:v>109.7</x:v>
      </x:c>
      <x:c r="H4" s="46"/>
      <x:c r="I4" s="45" t="n">
        <x:f>AVERAGE('Paired Data'!K4:K8)</x:f>
        <x:v>1.6840000000000033</x:v>
      </x:c>
      <x:c r="J4" s="46"/>
      <x:c r="K4" s="47" t="n">
        <x:f>AVERAGE('Paired Data'!L4:L8)</x:f>
        <x:v>0.015610096303811041</x:v>
      </x:c>
      <x:c r="L4" s="44"/>
    </x:row>
    <x:row r="7">
      <x:c r="A7" s="48" t="str">
        <x:v>Metric</x:v>
      </x:c>
      <x:c r="B7" s="49" t="str">
        <x:v>N</x:v>
      </x:c>
      <x:c r="C7" s="49" t="str">
        <x:v>Mean</x:v>
      </x:c>
      <x:c r="D7" s="49" t="str">
        <x:v>Sample SD</x:v>
      </x:c>
      <x:c r="E7" s="49" t="str">
        <x:v>Minimum</x:v>
      </x:c>
      <x:c r="F7" s="50" t="str">
        <x:v>Maximum</x:v>
      </x:c>
      <x:c r="H7" s="6" t="str">
        <x:v>Trial</x:v>
      </x:c>
      <x:c r="I7" s="6" t="str">
        <x:v>OFF makespan (s)</x:v>
      </x:c>
      <x:c r="J7" s="6" t="str">
        <x:v>ON makespan (s)</x:v>
      </x:c>
    </x:row>
    <x:row r="8">
      <x:c r="A8" s="14" t="str">
        <x:v>OFF makespan (s)</x:v>
      </x:c>
      <x:c r="B8" s="15" t="n">
        <x:f>COUNT('Paired Data'!F4:F8)</x:f>
        <x:v>5</x:v>
      </x:c>
      <x:c r="C8" s="51" t="n">
        <x:f>AVERAGE('Paired Data'!F4:F8)</x:f>
        <x:v>111.38399999999999</x:v>
      </x:c>
      <x:c r="D8" s="51" t="n">
        <x:f>STDEV.S('Paired Data'!F4:F8)</x:f>
        <x:v>9.94669191238977</x:v>
      </x:c>
      <x:c r="E8" s="51" t="n">
        <x:f>MIN('Paired Data'!F4:F8)</x:f>
        <x:v>99.88</x:v>
      </x:c>
      <x:c r="F8" s="52" t="n">
        <x:f>MAX('Paired Data'!F4:F8)</x:f>
        <x:v>119.88</x:v>
      </x:c>
      <x:c r="H8" t="n">
        <x:f>'Paired Data'!A4</x:f>
        <x:v>1</x:v>
      </x:c>
      <x:c r="I8" s="9" t="n">
        <x:f>'Paired Data'!F4</x:f>
        <x:v>119.88</x:v>
      </x:c>
      <x:c r="J8" s="9" t="n">
        <x:f>'Paired Data'!J4</x:f>
        <x:v>120.32</x:v>
      </x:c>
    </x:row>
    <x:row r="9">
      <x:c r="A9" s="14" t="str">
        <x:v>ON makespan (s)</x:v>
      </x:c>
      <x:c r="B9" s="15" t="n">
        <x:f>COUNT('Paired Data'!J4:J8)</x:f>
        <x:v>5</x:v>
      </x:c>
      <x:c r="C9" s="51" t="n">
        <x:f>AVERAGE('Paired Data'!J4:J8)</x:f>
        <x:v>109.7</x:v>
      </x:c>
      <x:c r="D9" s="51" t="n">
        <x:f>STDEV.S('Paired Data'!J4:J8)</x:f>
        <x:v>10.873214796002145</x:v>
      </x:c>
      <x:c r="E9" s="51" t="n">
        <x:f>MIN('Paired Data'!J4:J8)</x:f>
        <x:v>95.88</x:v>
      </x:c>
      <x:c r="F9" s="52" t="n">
        <x:f>MAX('Paired Data'!J4:J8)</x:f>
        <x:v>120.32</x:v>
      </x:c>
      <x:c r="H9" t="n">
        <x:f>'Paired Data'!A5</x:f>
        <x:v>2</x:v>
      </x:c>
      <x:c r="I9" s="9" t="n">
        <x:f>'Paired Data'!F5</x:f>
        <x:v>99.88</x:v>
      </x:c>
      <x:c r="J9" s="9" t="n">
        <x:f>'Paired Data'!J5</x:f>
        <x:v>100.66</x:v>
      </x:c>
    </x:row>
    <x:row r="10">
      <x:c r="A10" s="14" t="str">
        <x:v>Paired saving (s)</x:v>
      </x:c>
      <x:c r="B10" s="15" t="n">
        <x:f>COUNT('Paired Data'!K4:K8)</x:f>
        <x:v>5</x:v>
      </x:c>
      <x:c r="C10" s="51" t="n">
        <x:f>AVERAGE('Paired Data'!K4:K8)</x:f>
        <x:v>1.6840000000000033</x:v>
      </x:c>
      <x:c r="D10" s="51" t="n">
        <x:f>STDEV.S('Paired Data'!K4:K8)</x:f>
        <x:v>2.5998230709030947</x:v>
      </x:c>
      <x:c r="E10" s="51" t="n">
        <x:f>MIN('Paired Data'!K4:K8)</x:f>
        <x:v>-0.7800000000000011</x:v>
      </x:c>
      <x:c r="F10" s="52" t="n">
        <x:f>MAX('Paired Data'!K4:K8)</x:f>
        <x:v>5.439999999999998</x:v>
      </x:c>
      <x:c r="H10" t="n">
        <x:f>'Paired Data'!A6</x:f>
        <x:v>3</x:v>
      </x:c>
      <x:c r="I10" s="9" t="n">
        <x:f>'Paired Data'!F6</x:f>
        <x:v>101.32</x:v>
      </x:c>
      <x:c r="J10" s="9" t="n">
        <x:f>'Paired Data'!J6</x:f>
        <x:v>95.88</x:v>
      </x:c>
    </x:row>
    <x:row r="11">
      <x:c r="A11" s="19" t="str">
        <x:v>Paired improvement</x:v>
      </x:c>
      <x:c r="B11" s="20" t="n">
        <x:f>COUNT('Paired Data'!L4:L8)</x:f>
        <x:v>5</x:v>
      </x:c>
      <x:c r="C11" s="22" t="n">
        <x:f>AVERAGE('Paired Data'!L4:L8)</x:f>
        <x:v>0.015610096303811041</x:v>
      </x:c>
      <x:c r="D11" s="22" t="n">
        <x:f>STDEV.S('Paired Data'!L4:L8)</x:f>
        <x:v>0.025163053163412396</x:v>
      </x:c>
      <x:c r="E11" s="22" t="n">
        <x:f>MIN('Paired Data'!L4:L8)</x:f>
        <x:v>-0.007809371245494605</x:v>
      </x:c>
      <x:c r="F11" s="53" t="n">
        <x:f>MAX('Paired Data'!L4:L8)</x:f>
        <x:v>0.05369127516778521</x:v>
      </x:c>
      <x:c r="H11" t="n">
        <x:f>'Paired Data'!A7</x:f>
        <x:v>4</x:v>
      </x:c>
      <x:c r="I11" s="9" t="n">
        <x:f>'Paired Data'!F7</x:f>
        <x:v>119.42</x:v>
      </x:c>
      <x:c r="J11" s="9" t="n">
        <x:f>'Paired Data'!J7</x:f>
        <x:v>118.32</x:v>
      </x:c>
    </x:row>
    <x:row r="12">
      <x:c r="H12" t="n">
        <x:f>'Paired Data'!A8</x:f>
        <x:v>5</x:v>
      </x:c>
      <x:c r="I12" s="9" t="n">
        <x:f>'Paired Data'!F8</x:f>
        <x:v>116.42</x:v>
      </x:c>
      <x:c r="J12" s="9" t="n">
        <x:f>'Paired Data'!J8</x:f>
        <x:v>113.32</x:v>
      </x:c>
    </x:row>
    <x:row r="14">
      <x:c r="A14" s="56" t="str">
        <x:v>Interpretation</x:v>
      </x:c>
      <x:c r="B14" s="56" t="str"/>
      <x:c r="C14" s="56" t="str"/>
      <x:c r="D14" s="56" t="str"/>
      <x:c r="E14" s="56" t="str"/>
      <x:c r="F14" s="56" t="str"/>
    </x:row>
    <x:row r="15">
      <x:c r="A15" s="57" t="str">
        <x:v>Task success</x:v>
      </x:c>
      <x:c r="B15" s="58" t="str">
        <x:v>10/10 formal runs completed successfully</x:v>
      </x:c>
      <x:c r="C15" s="58" t="str"/>
      <x:c r="D15" s="58" t="str"/>
      <x:c r="E15" s="58" t="str"/>
      <x:c r="F15" s="58" t="str"/>
    </x:row>
    <x:row r="16">
      <x:c r="A16" s="57" t="str">
        <x:v>Efficiency</x:v>
      </x:c>
      <x:c r="B16" s="58" t="str">
        <x:v>3/5 paired trials improved; 2/5 were slightly slower with communication</x:v>
      </x:c>
      <x:c r="C16" s="58" t="str"/>
      <x:c r="D16" s="58" t="str"/>
      <x:c r="E16" s="58" t="str"/>
      <x:c r="F16" s="58" t="str"/>
    </x:row>
    <x:row r="17">
      <x:c r="A17" s="57" t="str">
        <x:v>Communication chain</x:v>
      </x:c>
      <x:c r="B17" s="58" t="str">
        <x:v>5/5 ON trials: discovery -&gt; first announcement -&gt; B/C route switch</x:v>
      </x:c>
      <x:c r="C17" s="58" t="str"/>
      <x:c r="D17" s="58" t="str"/>
      <x:c r="E17" s="58" t="str"/>
      <x:c r="F17" s="58" t="str"/>
    </x:row>
    <x:row r="18">
      <x:c r="A18" s="57" t="str">
        <x:v>Scope</x:v>
      </x:c>
      <x:c r="B18" s="58" t="str">
        <x:v>Descriptive n=5 simulation result; no broad statistical generalisation</x:v>
      </x:c>
      <x:c r="C18" s="58" t="str"/>
      <x:c r="D18" s="58" t="str"/>
      <x:c r="E18" s="58" t="str"/>
      <x:c r="F18" s="58" t="str"/>
    </x:row>
  </x:sheetData>
  <x:mergeCells>
    <x:mergeCell ref="A1:L1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  <x:drawing xmlns:r="http://schemas.openxmlformats.org/officeDocument/2006/relationships" r:id="R63c127dd164e4f0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880000114440918" hidden="0" customWidth="1"/>
    <x:col min="2" max="2" width="6.8800001144409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8" customHeight="1">
      <x:c r="A1" s="4" t="str">
        <x:v>N3 Shared-Exit Formal Paired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1" t="str">
        <x:v>Trial</x:v>
      </x:c>
      <x:c r="B3" s="12" t="str">
        <x:v>Attempt</x:v>
      </x:c>
      <x:c r="C3" s="12" t="str">
        <x:v>OFF A (s)</x:v>
      </x:c>
      <x:c r="D3" s="12" t="str">
        <x:v>OFF B (s)</x:v>
      </x:c>
      <x:c r="E3" s="12" t="str">
        <x:v>OFF C (s)</x:v>
      </x:c>
      <x:c r="F3" s="12" t="str">
        <x:v>OFF makespan (s)</x:v>
      </x:c>
      <x:c r="G3" s="12" t="str">
        <x:v>ON A (s)</x:v>
      </x:c>
      <x:c r="H3" s="12" t="str">
        <x:v>ON B (s)</x:v>
      </x:c>
      <x:c r="I3" s="12" t="str">
        <x:v>ON C (s)</x:v>
      </x:c>
      <x:c r="J3" s="12" t="str">
        <x:v>ON makespan (s)</x:v>
      </x:c>
      <x:c r="K3" s="12" t="str">
        <x:v>Saving (s)</x:v>
      </x:c>
      <x:c r="L3" s="12" t="str">
        <x:v>Improvement</x:v>
      </x:c>
      <x:c r="M3" s="13" t="str">
        <x:v>Improved?</x:v>
      </x:c>
    </x:row>
    <x:row r="4">
      <x:c r="A4" s="14" t="n">
        <x:v>1</x:v>
      </x:c>
      <x:c r="B4" s="15" t="n">
        <x:v>2</x:v>
      </x:c>
      <x:c r="C4" s="16" t="n">
        <x:v>81.42</x:v>
      </x:c>
      <x:c r="D4" s="16" t="n">
        <x:v>88.32</x:v>
      </x:c>
      <x:c r="E4" s="16" t="n">
        <x:v>119.88</x:v>
      </x:c>
      <x:c r="F4" s="16" t="n">
        <x:v>119.88</x:v>
      </x:c>
      <x:c r="G4" s="16" t="n">
        <x:v>87.54</x:v>
      </x:c>
      <x:c r="H4" s="16" t="n">
        <x:v>103.42</x:v>
      </x:c>
      <x:c r="I4" s="16" t="n">
        <x:v>120.32</x:v>
      </x:c>
      <x:c r="J4" s="16" t="n">
        <x:v>120.32</x:v>
      </x:c>
      <x:c r="K4" s="16" t="n">
        <x:f>F4-J4</x:f>
        <x:v>-0.4399999999999977</x:v>
      </x:c>
      <x:c r="L4" s="17" t="n">
        <x:f>K4/F4</x:f>
        <x:v>-0.003670337003670318</x:v>
      </x:c>
      <x:c r="M4" s="18" t="str">
        <x:f>IF(K4&gt;0,"YES","NO")</x:f>
        <x:v>NO</x:v>
      </x:c>
    </x:row>
    <x:row r="5">
      <x:c r="A5" s="14" t="n">
        <x:v>2</x:v>
      </x:c>
      <x:c r="B5" s="15" t="n">
        <x:v>1</x:v>
      </x:c>
      <x:c r="C5" s="16" t="n">
        <x:v>73.98</x:v>
      </x:c>
      <x:c r="D5" s="16" t="n">
        <x:v>94.76</x:v>
      </x:c>
      <x:c r="E5" s="16" t="n">
        <x:v>99.88</x:v>
      </x:c>
      <x:c r="F5" s="16" t="n">
        <x:v>99.88</x:v>
      </x:c>
      <x:c r="G5" s="16" t="n">
        <x:v>67.16</x:v>
      </x:c>
      <x:c r="H5" s="16" t="n">
        <x:v>83.88</x:v>
      </x:c>
      <x:c r="I5" s="16" t="n">
        <x:v>100.66</x:v>
      </x:c>
      <x:c r="J5" s="16" t="n">
        <x:v>100.66</x:v>
      </x:c>
      <x:c r="K5" s="16" t="n">
        <x:f>F5-J5</x:f>
        <x:v>-0.7800000000000011</x:v>
      </x:c>
      <x:c r="L5" s="17" t="n">
        <x:f>K5/F5</x:f>
        <x:v>-0.007809371245494605</x:v>
      </x:c>
      <x:c r="M5" s="18" t="str">
        <x:f>IF(K5&gt;0,"YES","NO")</x:f>
        <x:v>NO</x:v>
      </x:c>
    </x:row>
    <x:row r="6">
      <x:c r="A6" s="14" t="n">
        <x:v>3</x:v>
      </x:c>
      <x:c r="B6" s="15" t="n">
        <x:v>1</x:v>
      </x:c>
      <x:c r="C6" s="16" t="n">
        <x:v>59.84</x:v>
      </x:c>
      <x:c r="D6" s="16" t="n">
        <x:v>81.88</x:v>
      </x:c>
      <x:c r="E6" s="16" t="n">
        <x:v>101.32</x:v>
      </x:c>
      <x:c r="F6" s="16" t="n">
        <x:v>101.32</x:v>
      </x:c>
      <x:c r="G6" s="16" t="n">
        <x:v>61.56</x:v>
      </x:c>
      <x:c r="H6" s="16" t="n">
        <x:v>78.2</x:v>
      </x:c>
      <x:c r="I6" s="16" t="n">
        <x:v>95.88</x:v>
      </x:c>
      <x:c r="J6" s="16" t="n">
        <x:v>95.88</x:v>
      </x:c>
      <x:c r="K6" s="16" t="n">
        <x:f>F6-J6</x:f>
        <x:v>5.439999999999998</x:v>
      </x:c>
      <x:c r="L6" s="17" t="n">
        <x:f>K6/F6</x:f>
        <x:v>0.05369127516778521</x:v>
      </x:c>
      <x:c r="M6" s="18" t="str">
        <x:f>IF(K6&gt;0,"YES","NO")</x:f>
        <x:v>YES</x:v>
      </x:c>
    </x:row>
    <x:row r="7">
      <x:c r="A7" s="14" t="n">
        <x:v>4</x:v>
      </x:c>
      <x:c r="B7" s="15" t="n">
        <x:v>3</x:v>
      </x:c>
      <x:c r="C7" s="16" t="n">
        <x:v>77.88</x:v>
      </x:c>
      <x:c r="D7" s="16" t="n">
        <x:v>100.42</x:v>
      </x:c>
      <x:c r="E7" s="16" t="n">
        <x:v>119.42</x:v>
      </x:c>
      <x:c r="F7" s="16" t="n">
        <x:v>119.42</x:v>
      </x:c>
      <x:c r="G7" s="16" t="n">
        <x:v>85.42</x:v>
      </x:c>
      <x:c r="H7" s="16" t="n">
        <x:v>101.54</x:v>
      </x:c>
      <x:c r="I7" s="16" t="n">
        <x:v>118.32</x:v>
      </x:c>
      <x:c r="J7" s="16" t="n">
        <x:v>118.32</x:v>
      </x:c>
      <x:c r="K7" s="16" t="n">
        <x:f>F7-J7</x:f>
        <x:v>1.1000000000000085</x:v>
      </x:c>
      <x:c r="L7" s="17" t="n">
        <x:f>K7/F7</x:f>
        <x:v>0.009211187405794746</x:v>
      </x:c>
      <x:c r="M7" s="18" t="str">
        <x:f>IF(K7&gt;0,"YES","NO")</x:f>
        <x:v>YES</x:v>
      </x:c>
    </x:row>
    <x:row r="8">
      <x:c r="A8" s="19" t="n">
        <x:v>5</x:v>
      </x:c>
      <x:c r="B8" s="20" t="n">
        <x:v>1</x:v>
      </x:c>
      <x:c r="C8" s="21" t="n">
        <x:v>76.32</x:v>
      </x:c>
      <x:c r="D8" s="21" t="n">
        <x:v>97.2</x:v>
      </x:c>
      <x:c r="E8" s="21" t="n">
        <x:v>116.42</x:v>
      </x:c>
      <x:c r="F8" s="21" t="n">
        <x:v>116.42</x:v>
      </x:c>
      <x:c r="G8" s="21" t="n">
        <x:v>79.98</x:v>
      </x:c>
      <x:c r="H8" s="21" t="n">
        <x:v>95.42</x:v>
      </x:c>
      <x:c r="I8" s="21" t="n">
        <x:v>113.32</x:v>
      </x:c>
      <x:c r="J8" s="21" t="n">
        <x:v>113.32</x:v>
      </x:c>
      <x:c r="K8" s="21" t="n">
        <x:f>F8-J8</x:f>
        <x:v>3.1000000000000085</x:v>
      </x:c>
      <x:c r="L8" s="22" t="n">
        <x:f>K8/F8</x:f>
        <x:v>0.02662772719464017</x:v>
      </x:c>
      <x:c r="M8" s="23" t="str">
        <x:f>IF(K8&gt;0,"YES","NO")</x:f>
        <x:v>YES</x:v>
      </x:c>
    </x:row>
  </x:sheetData>
  <x:mergeCells>
    <x:mergeCell ref="A1:M1"/>
  </x:mergeCells>
  <x:conditionalFormatting sqref="K4:K8">
    <x:cfRule type="cellIs" dxfId="0" priority="1" operator="greaterThan">
      <x:formula>0</x:formula>
    </x:cfRule>
    <x:cfRule type="cellIs" dxfId="1" priority="2" operator="lessThanOrEqual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5" hidden="0" customWidth="1"/>
  </x:cols>
  <x:sheetData>
    <x:row r="1">
      <x:c r="A1" s="3" t="str">
        <x:v>Evidence and Reproducibility</x:v>
      </x:c>
      <x:c r="B1" s="3"/>
      <x:c r="C1" s="3"/>
      <x:c r="D1" s="3"/>
    </x:row>
    <x:row r="3">
      <x:c r="A3" s="60" t="str">
        <x:v>Execution world SHA-256</x:v>
      </x:c>
      <x:c r="B3" s="61" t="str">
        <x:v>b4721d04064c3546350f0727f7f4ba038fe7bb64dfed8eccb92adcd188e064d4</x:v>
      </x:c>
    </x:row>
    <x:row r="4">
      <x:c r="A4" s="62" t="str">
        <x:v>Parking geometry commit</x:v>
      </x:c>
      <x:c r="B4" s="63" t="str">
        <x:v>311f96e98385b19a1ed654d67970bcb41d25bd64</x:v>
      </x:c>
    </x:row>
    <x:row r="5">
      <x:c r="A5" s="62" t="str">
        <x:v>Readiness fix commit</x:v>
      </x:c>
      <x:c r="B5" s="63" t="str">
        <x:v>9339d67482b7758e634b37b208f8562bbd267885</x:v>
      </x:c>
    </x:row>
    <x:row r="6">
      <x:c r="A6" s="62" t="str">
        <x:v>WSL evidence root</x:v>
      </x:c>
      <x:c r="B6" s="63" t="str">
        <x:v>/home/eamon/epuck_comm_bags</x:v>
      </x:c>
    </x:row>
    <x:row r="7">
      <x:c r="A7" s="62" t="str">
        <x:v>Windows evidence root</x:v>
      </x:c>
      <x:c r="B7" s="63" t="str">
        <x:v>experiments/10_cooperative_exit_navigation_20260720/bags/shared_exit_n3_formal_20260722</x:v>
      </x:c>
    </x:row>
    <x:row r="8">
      <x:c r="A8" s="62" t="str">
        <x:v>SHA-256 verification</x:v>
      </x:c>
      <x:c r="B8" s="63" t="str">
        <x:v>175/175 files match; 0 mismatch</x:v>
      </x:c>
    </x:row>
    <x:row r="9">
      <x:c r="A9" s="64" t="str">
        <x:v>Excluded attempts</x:v>
      </x:c>
      <x:c r="B9" s="65" t="str">
        <x:v>Recorded separately in N3_ATTEMPT_HISTORY.md; never included in formal statistics</x:v>
      </x:c>
    </x:row>
  </x:sheetData>
  <x:mergeCells>
    <x:mergeCell ref="A1:D1"/>
  </x:mergeCells>
  <x:pageMargins left="0.7" right="0.7" top="0.75" bottom="0.75" header="0.3" footer="0.3"/>
</x:worksheet>
</file>